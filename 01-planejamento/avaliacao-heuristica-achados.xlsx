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Achados" sheetId="2" state="visible" r:id="rId4"/>
    <sheet name="Resumo" sheetId="3" state="visible" r:id="rId5"/>
    <sheet name="Lis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<sst xmlns="http://schemas.openxmlformats.org/spreadsheetml/2006/main" count="158" uniqueCount="141">
  <si>
    <t xml:space="preserve">Avaliação heurística de Nielsen — TCC II (Frente 2)</t>
  </si>
  <si>
    <t xml:space="preserve">Como usar</t>
  </si>
  <si>
    <t xml:space="preserve">1. Siga o roteiro do arquivo avaliacao-heuristica.md (preparação, tarefas T1 a T3, duas passadas).</t>
  </si>
  <si>
    <t xml:space="preserve">2. Registre cada problema em uma linha da aba Achados. As células amarelas são para preencher; as listas suspensas ajudam.</t>
  </si>
  <si>
    <t xml:space="preserve">3. A linha verde (A0) é só um exemplo de formato. Ela não entra na contagem do Resumo.</t>
  </si>
  <si>
    <t xml:space="preserve">4. O mesmo problema em duas telas é UM achado: escreva as duas telas na coluna Tela.</t>
  </si>
  <si>
    <t xml:space="preserve">5. A aba Resumo calcula sozinha a contagem por severidade, por heurística e o critério de aceite do RNF01.</t>
  </si>
  <si>
    <t xml:space="preserve">Escala de severidade (Nielsen, 1994)</t>
  </si>
  <si>
    <t xml:space="preserve">0 — Não é problema de usabilidade.</t>
  </si>
  <si>
    <t xml:space="preserve">1 — Cosmético: corrigir só se sobrar tempo.</t>
  </si>
  <si>
    <t xml:space="preserve">2 — Menor: atrapalha um pouco; baixa prioridade.</t>
  </si>
  <si>
    <t xml:space="preserve">3 — Maior: importante corrigir; alta prioridade.</t>
  </si>
  <si>
    <t xml:space="preserve">4 — Catástrofe: impede a tarefa; corrigir obrigatoriamente.</t>
  </si>
  <si>
    <t xml:space="preserve">Para decidir a nota, pense em: frequência (acontece sempre?), impacto (o usuário erra ou trava?) e persistência (dá para contornar?).</t>
  </si>
  <si>
    <t xml:space="preserve">Critério de aceite (RNF01): nenhum problema de severidade 3 ou 4 sem correção ao final.</t>
  </si>
  <si>
    <t xml:space="preserve">Regra de correção: severidade 3 e 4 sempre; 2 se for rápido; 0 e 1 só registrar.</t>
  </si>
  <si>
    <t xml:space="preserve">ID</t>
  </si>
  <si>
    <t xml:space="preserve">Tela</t>
  </si>
  <si>
    <t xml:space="preserve">Tarefa</t>
  </si>
  <si>
    <t xml:space="preserve">Dispositivo</t>
  </si>
  <si>
    <t xml:space="preserve">Heurística violada</t>
  </si>
  <si>
    <t xml:space="preserve">Problema encontrado</t>
  </si>
  <si>
    <t xml:space="preserve">Evidência (print)</t>
  </si>
  <si>
    <t xml:space="preserve">Severidade (0–4)</t>
  </si>
  <si>
    <t xml:space="preserve">Corrigido?</t>
  </si>
  <si>
    <t xml:space="preserve">Correção aplicada</t>
  </si>
  <si>
    <t xml:space="preserve">Print depois</t>
  </si>
  <si>
    <t xml:space="preserve">A0</t>
  </si>
  <si>
    <t xml:space="preserve">Treino de Hoje</t>
  </si>
  <si>
    <t xml:space="preserve">T1 Registrar sessão</t>
  </si>
  <si>
    <t xml:space="preserve">Celular</t>
  </si>
  <si>
    <t xml:space="preserve">1. Visibilidade do estado do sistema</t>
  </si>
  <si>
    <t xml:space="preserve">Ao salvar uma série não aparece confirmação; não dá para saber se foi gravada.</t>
  </si>
  <si>
    <t xml:space="preserve">a0-antes.png</t>
  </si>
  <si>
    <t xml:space="preserve">Sim</t>
  </si>
  <si>
    <t xml:space="preserve">Adicionado o aviso "Série salva" após gravar.</t>
  </si>
  <si>
    <t xml:space="preserve">a0-depois.png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</si>
  <si>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</si>
  <si>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</si>
  <si>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</si>
  <si>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</si>
  <si>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</si>
  <si>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</si>
  <si>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</si>
  <si>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</si>
  <si>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</si>
  <si>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</si>
  <si>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</si>
  <si>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</si>
  <si>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</si>
  <si>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</si>
  <si>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</si>
  <si>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</si>
  <si>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</si>
  <si>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</si>
  <si>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</si>
  <si>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</si>
  <si>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</si>
  <si>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</si>
  <si>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</si>
  <si>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</si>
  <si>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</si>
  <si>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</si>
  <si>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</si>
  <si>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</si>
  <si>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</si>
  <si>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</si>
  <si>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</si>
  <si>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</si>
  <si>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</si>
  <si>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</si>
  <si>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</si>
  <si>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</si>
  <si>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</si>
  <si>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</si>
  <si>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</si>
  <si>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</si>
  <si>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A41</t>
  </si>
  <si>
    <t xml:space="preserve">A42</t>
  </si>
  <si>
    <t xml:space="preserve">A43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</si>
  <si>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</si>
  <si>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</si>
  <si>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</si>
  <si>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</si>
  <si>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</si>
  <si>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</si>
  <si>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</si>
  <si>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</si>
  <si>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A52</t>
  </si>
  <si>
    <t xml:space="preserve">A53</t>
  </si>
  <si>
    <t xml:space="preserve">A54</t>
  </si>
  <si>
    <t xml:space="preserve">A55</t>
  </si>
  <si>
    <t xml:space="preserve">A56</t>
  </si>
  <si>
    <t xml:space="preserve">A57</t>
  </si>
  <si>
    <t xml:space="preserve">A58</t>
  </si>
  <si>
    <t xml:space="preserve">A59</t>
  </si>
  <si>
    <t xml:space="preserve">A60</t>
  </si>
  <si>
    <t xml:space="preserve">Resumo da avaliação (calculado automaticamente)</t>
  </si>
  <si>
    <t xml:space="preserve">Conta só as linhas A1 em diante; o exemplo A0 fica de fora.</t>
  </si>
  <si>
    <t xml:space="preserve">Severidade</t>
  </si>
  <si>
    <t xml:space="preserve">Achados</t>
  </si>
  <si>
    <t xml:space="preserve">Corrigidos</t>
  </si>
  <si>
    <t xml:space="preserve">0 — Não é problema</t>
  </si>
  <si>
    <t xml:space="preserve">1 — Cosmético</t>
  </si>
  <si>
    <t xml:space="preserve">2 — Menor</t>
  </si>
  <si>
    <t xml:space="preserve">3 — Maior</t>
  </si>
  <si>
    <t xml:space="preserve">4 — Catástrofe</t>
  </si>
  <si>
    <t xml:space="preserve">Total</t>
  </si>
  <si>
    <t xml:space="preserve">Heurística</t>
  </si>
  <si>
    <t xml:space="preserve">Severidade média</t>
  </si>
  <si>
    <t xml:space="preserve">2. Correspondência com o mundo real</t>
  </si>
  <si>
    <t xml:space="preserve">3. Controle e liberdade do usuário</t>
  </si>
  <si>
    <t xml:space="preserve">4. Consistência e padrões</t>
  </si>
  <si>
    <t xml:space="preserve">5. Prevenção de erros</t>
  </si>
  <si>
    <t xml:space="preserve">6. Reconhecer em vez de lembrar</t>
  </si>
  <si>
    <t xml:space="preserve">7. Flexibilidade e eficiência de uso</t>
  </si>
  <si>
    <t xml:space="preserve">8. Estética e design minimalista</t>
  </si>
  <si>
    <t xml:space="preserve">9. Ajudar a reconhecer, diagnosticar e corrigir erros</t>
  </si>
  <si>
    <t xml:space="preserve">10. Ajuda e documentação</t>
  </si>
  <si>
    <t xml:space="preserve">Problemas de severidade 3 ou 4 ainda sem correção</t>
  </si>
  <si>
    <t xml:space="preserve">Critério de aceite do RNF01</t>
  </si>
  <si>
    <t xml:space="preserve">Frase pronta para o texto (Resultados, VI.B):</t>
  </si>
  <si>
    <t xml:space="preserve">Telas</t>
  </si>
  <si>
    <t xml:space="preserve">Tarefas</t>
  </si>
  <si>
    <t xml:space="preserve">Heurísticas</t>
  </si>
  <si>
    <t xml:space="preserve">Corrigido</t>
  </si>
  <si>
    <t xml:space="preserve">Minha Divisão</t>
  </si>
  <si>
    <t xml:space="preserve">Desktop</t>
  </si>
  <si>
    <t xml:space="preserve">T2 Ver diagnóstico</t>
  </si>
  <si>
    <t xml:space="preserve">Não</t>
  </si>
  <si>
    <t xml:space="preserve">Volume da Semana</t>
  </si>
  <si>
    <t xml:space="preserve">T3 Histórico</t>
  </si>
  <si>
    <t xml:space="preserve">Ambos</t>
  </si>
  <si>
    <t xml:space="preserve">Parcial</t>
  </si>
  <si>
    <t xml:space="preserve">Diagnóstico</t>
  </si>
  <si>
    <t xml:space="preserve">Livre (1ª passada)</t>
  </si>
  <si>
    <t xml:space="preserve">Histórico — Cargas</t>
  </si>
  <si>
    <t xml:space="preserve">Histórico — Volume</t>
  </si>
  <si>
    <t xml:space="preserve">Histórico — Sessões</t>
  </si>
  <si>
    <t xml:space="preserve">Login/Cadastro</t>
  </si>
  <si>
    <t xml:space="preserve">Navegação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</si>
</sst>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40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</row>
    <row r="2" customFormat="false" ht="23.85" hidden="false" customHeight="fals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7" t="n">
        <v>2</v>
      </c>
      <c r="I2" s="6" t="s">
        <v>34</v>
      </c>
      <c r="J2" s="6" t="s">
        <v>35</v>
      </c>
      <c r="K2" s="6" t="s">
        <v>36</v>
      </c>
    </row>
    <row r="3" customFormat="false" ht="15" hidden="false" customHeight="false" outlineLevel="0" collapsed="false">
      <c r="A3" s="8" t="s">
        <v>37</v>
      </c>
      <c r="B3" s="9"/>
      <c r="C3" s="9"/>
      <c r="D3" s="9"/>
      <c r="E3" s="9"/>
      <c r="F3" s="9"/>
      <c r="G3" s="9"/>
      <c r="H3" s="10"/>
      <c r="I3" s="9"/>
      <c r="J3" s="9"/>
      <c r="K3" s="9"/>
    </row>
    <row r="4" customFormat="false" ht="15" hidden="false" customHeight="false" outlineLevel="0" collapsed="false">
      <c r="A4" s="8" t="s">
        <v>38</v>
      </c>
      <c r="B4" s="9"/>
      <c r="C4" s="9"/>
      <c r="D4" s="9"/>
      <c r="E4" s="9"/>
      <c r="F4" s="9"/>
      <c r="G4" s="9"/>
      <c r="H4" s="10"/>
      <c r="I4" s="9"/>
      <c r="J4" s="9"/>
      <c r="K4" s="9"/>
    </row>
    <row r="5" customFormat="false" ht="15" hidden="false" customHeight="false" outlineLevel="0" collapsed="false">
      <c r="A5" s="8" t="s">
        <v>39</v>
      </c>
      <c r="B5" s="9"/>
      <c r="C5" s="9"/>
      <c r="D5" s="9"/>
      <c r="E5" s="9"/>
      <c r="F5" s="9"/>
      <c r="G5" s="9"/>
      <c r="H5" s="10"/>
      <c r="I5" s="9"/>
      <c r="J5" s="9"/>
      <c r="K5" s="9"/>
    </row>
    <row r="6" customFormat="false" ht="15" hidden="false" customHeight="false" outlineLevel="0" collapsed="false">
      <c r="A6" s="8" t="s">
        <v>40</v>
      </c>
      <c r="B6" s="9"/>
      <c r="C6" s="9"/>
      <c r="D6" s="9"/>
      <c r="E6" s="9"/>
      <c r="F6" s="9"/>
      <c r="G6" s="9"/>
      <c r="H6" s="10"/>
      <c r="I6" s="9"/>
      <c r="J6" s="9"/>
      <c r="K6" s="9"/>
    </row>
    <row r="7" customFormat="false" ht="15" hidden="false" customHeight="false" outlineLevel="0" collapsed="false">
      <c r="A7" s="8" t="s">
        <v>41</v>
      </c>
      <c r="B7" s="9"/>
      <c r="C7" s="9"/>
      <c r="D7" s="9"/>
      <c r="E7" s="9"/>
      <c r="F7" s="9"/>
      <c r="G7" s="9"/>
      <c r="H7" s="10"/>
      <c r="I7" s="9"/>
      <c r="J7" s="9"/>
      <c r="K7" s="9"/>
    </row>
    <row r="8" customFormat="false" ht="15" hidden="false" customHeight="false" outlineLevel="0" collapsed="false">
      <c r="A8" s="8" t="s">
        <v>42</v>
      </c>
      <c r="B8" s="9"/>
      <c r="C8" s="9"/>
      <c r="D8" s="9"/>
      <c r="E8" s="9"/>
      <c r="F8" s="9"/>
      <c r="G8" s="9"/>
      <c r="H8" s="10"/>
      <c r="I8" s="9"/>
      <c r="J8" s="9"/>
      <c r="K8" s="9"/>
    </row>
    <row r="9" customFormat="false" ht="15" hidden="false" customHeight="false" outlineLevel="0" collapsed="false">
      <c r="A9" s="8" t="s">
        <v>43</v>
      </c>
      <c r="B9" s="9"/>
      <c r="C9" s="9"/>
      <c r="D9" s="9"/>
      <c r="E9" s="9"/>
      <c r="F9" s="9"/>
      <c r="G9" s="9"/>
      <c r="H9" s="10"/>
      <c r="I9" s="9"/>
      <c r="J9" s="9"/>
      <c r="K9" s="9"/>
    </row>
    <row r="10" customFormat="false" ht="15" hidden="false" customHeight="false" outlineLevel="0" collapsed="false">
      <c r="A10" s="8" t="s">
        <v>44</v>
      </c>
      <c r="B10" s="9"/>
      <c r="C10" s="9"/>
      <c r="D10" s="9"/>
      <c r="E10" s="9"/>
      <c r="F10" s="9"/>
      <c r="G10" s="9"/>
      <c r="H10" s="10"/>
      <c r="I10" s="9"/>
      <c r="J10" s="9"/>
      <c r="K10" s="9"/>
    </row>
    <row r="11" customFormat="false" ht="15" hidden="false" customHeight="false" outlineLevel="0" collapsed="false">
      <c r="A11" s="8" t="s">
        <v>45</v>
      </c>
      <c r="B11" s="9"/>
      <c r="C11" s="9"/>
      <c r="D11" s="9"/>
      <c r="E11" s="9"/>
      <c r="F11" s="9"/>
      <c r="G11" s="9"/>
      <c r="H11" s="10"/>
      <c r="I11" s="9"/>
      <c r="J11" s="9"/>
      <c r="K11" s="9"/>
    </row>
    <row r="12" customFormat="false" ht="15" hidden="false" customHeight="false" outlineLevel="0" collapsed="false">
      <c r="A12" s="8" t="s">
        <v>46</v>
      </c>
      <c r="B12" s="9"/>
      <c r="C12" s="9"/>
      <c r="D12" s="9"/>
      <c r="E12" s="9"/>
      <c r="F12" s="9"/>
      <c r="G12" s="9"/>
      <c r="H12" s="10"/>
      <c r="I12" s="9"/>
      <c r="J12" s="9"/>
      <c r="K12" s="9"/>
    </row>
    <row r="13" customFormat="false" ht="15" hidden="false" customHeight="false" outlineLevel="0" collapsed="false">
      <c r="A13" s="8" t="s">
        <v>47</v>
      </c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customFormat="false" ht="15" hidden="false" customHeight="false" outlineLevel="0" collapsed="false">
      <c r="A14" s="8" t="s">
        <v>48</v>
      </c>
      <c r="B14" s="9"/>
      <c r="C14" s="9"/>
      <c r="D14" s="9"/>
      <c r="E14" s="9"/>
      <c r="F14" s="9"/>
      <c r="G14" s="9"/>
      <c r="H14" s="10"/>
      <c r="I14" s="9"/>
      <c r="J14" s="9"/>
      <c r="K14" s="9"/>
    </row>
    <row r="15" customFormat="false" ht="15" hidden="false" customHeight="false" outlineLevel="0" collapsed="false">
      <c r="A15" s="8" t="s">
        <v>49</v>
      </c>
      <c r="B15" s="9"/>
      <c r="C15" s="9"/>
      <c r="D15" s="9"/>
      <c r="E15" s="9"/>
      <c r="F15" s="9"/>
      <c r="G15" s="9"/>
      <c r="H15" s="10"/>
      <c r="I15" s="9"/>
      <c r="J15" s="9"/>
      <c r="K15" s="9"/>
    </row>
    <row r="16" customFormat="false" ht="15" hidden="false" customHeight="false" outlineLevel="0" collapsed="false">
      <c r="A16" s="8" t="s">
        <v>50</v>
      </c>
      <c r="B16" s="9"/>
      <c r="C16" s="9"/>
      <c r="D16" s="9"/>
      <c r="E16" s="9"/>
      <c r="F16" s="9"/>
      <c r="G16" s="9"/>
      <c r="H16" s="10"/>
      <c r="I16" s="9"/>
      <c r="J16" s="9"/>
      <c r="K16" s="9"/>
    </row>
    <row r="17" customFormat="false" ht="15" hidden="false" customHeight="false" outlineLevel="0" collapsed="false">
      <c r="A17" s="8" t="s">
        <v>51</v>
      </c>
      <c r="B17" s="9"/>
      <c r="C17" s="9"/>
      <c r="D17" s="9"/>
      <c r="E17" s="9"/>
      <c r="F17" s="9"/>
      <c r="G17" s="9"/>
      <c r="H17" s="10"/>
      <c r="I17" s="9"/>
      <c r="J17" s="9"/>
      <c r="K17" s="9"/>
    </row>
    <row r="18" customFormat="false" ht="15" hidden="false" customHeight="false" outlineLevel="0" collapsed="false">
      <c r="A18" s="8" t="s">
        <v>52</v>
      </c>
      <c r="B18" s="9"/>
      <c r="C18" s="9"/>
      <c r="D18" s="9"/>
      <c r="E18" s="9"/>
      <c r="F18" s="9"/>
      <c r="G18" s="9"/>
      <c r="H18" s="10"/>
      <c r="I18" s="9"/>
      <c r="J18" s="9"/>
      <c r="K18" s="9"/>
    </row>
    <row r="19" customFormat="false" ht="15" hidden="false" customHeight="false" outlineLevel="0" collapsed="false">
      <c r="A19" s="8" t="s">
        <v>53</v>
      </c>
      <c r="B19" s="9"/>
      <c r="C19" s="9"/>
      <c r="D19" s="9"/>
      <c r="E19" s="9"/>
      <c r="F19" s="9"/>
      <c r="G19" s="9"/>
      <c r="H19" s="10"/>
      <c r="I19" s="9"/>
      <c r="J19" s="9"/>
      <c r="K19" s="9"/>
    </row>
    <row r="20" customFormat="false" ht="15" hidden="false" customHeight="false" outlineLevel="0" collapsed="false">
      <c r="A20" s="8" t="s">
        <v>54</v>
      </c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customFormat="false" ht="15" hidden="false" customHeight="false" outlineLevel="0" collapsed="false">
      <c r="A21" s="8" t="s">
        <v>55</v>
      </c>
      <c r="B21" s="9"/>
      <c r="C21" s="9"/>
      <c r="D21" s="9"/>
      <c r="E21" s="9"/>
      <c r="F21" s="9"/>
      <c r="G21" s="9"/>
      <c r="H21" s="10"/>
      <c r="I21" s="9"/>
      <c r="J21" s="9"/>
      <c r="K21" s="9"/>
    </row>
    <row r="22" customFormat="false" ht="15" hidden="false" customHeight="false" outlineLevel="0" collapsed="false">
      <c r="A22" s="8" t="s">
        <v>56</v>
      </c>
      <c r="B22" s="9"/>
      <c r="C22" s="9"/>
      <c r="D22" s="9"/>
      <c r="E22" s="9"/>
      <c r="F22" s="9"/>
      <c r="G22" s="9"/>
      <c r="H22" s="10"/>
      <c r="I22" s="9"/>
      <c r="J22" s="9"/>
      <c r="K22" s="9"/>
    </row>
    <row r="23" customFormat="false" ht="15" hidden="false" customHeight="false" outlineLevel="0" collapsed="false">
      <c r="A23" s="8" t="s">
        <v>57</v>
      </c>
      <c r="B23" s="9"/>
      <c r="C23" s="9"/>
      <c r="D23" s="9"/>
      <c r="E23" s="9"/>
      <c r="F23" s="9"/>
      <c r="G23" s="9"/>
      <c r="H23" s="10"/>
      <c r="I23" s="9"/>
      <c r="J23" s="9"/>
      <c r="K23" s="9"/>
    </row>
    <row r="24" customFormat="false" ht="15" hidden="false" customHeight="false" outlineLevel="0" collapsed="false">
      <c r="A24" s="8" t="s">
        <v>58</v>
      </c>
      <c r="B24" s="9"/>
      <c r="C24" s="9"/>
      <c r="D24" s="9"/>
      <c r="E24" s="9"/>
      <c r="F24" s="9"/>
      <c r="G24" s="9"/>
      <c r="H24" s="10"/>
      <c r="I24" s="9"/>
      <c r="J24" s="9"/>
      <c r="K24" s="9"/>
    </row>
    <row r="25" customFormat="false" ht="15" hidden="false" customHeight="false" outlineLevel="0" collapsed="false">
      <c r="A25" s="8" t="s">
        <v>59</v>
      </c>
      <c r="B25" s="9"/>
      <c r="C25" s="9"/>
      <c r="D25" s="9"/>
      <c r="E25" s="9"/>
      <c r="F25" s="9"/>
      <c r="G25" s="9"/>
      <c r="H25" s="10"/>
      <c r="I25" s="9"/>
      <c r="J25" s="9"/>
      <c r="K25" s="9"/>
    </row>
    <row r="26" customFormat="false" ht="15" hidden="false" customHeight="false" outlineLevel="0" collapsed="false">
      <c r="A26" s="8" t="s">
        <v>60</v>
      </c>
      <c r="B26" s="9"/>
      <c r="C26" s="9"/>
      <c r="D26" s="9"/>
      <c r="E26" s="9"/>
      <c r="F26" s="9"/>
      <c r="G26" s="9"/>
      <c r="H26" s="10"/>
      <c r="I26" s="9"/>
      <c r="J26" s="9"/>
      <c r="K26" s="9"/>
    </row>
    <row r="27" customFormat="false" ht="15" hidden="false" customHeight="false" outlineLevel="0" collapsed="false">
      <c r="A27" s="8" t="s">
        <v>61</v>
      </c>
      <c r="B27" s="9"/>
      <c r="C27" s="9"/>
      <c r="D27" s="9"/>
      <c r="E27" s="9"/>
      <c r="F27" s="9"/>
      <c r="G27" s="9"/>
      <c r="H27" s="10"/>
      <c r="I27" s="9"/>
      <c r="J27" s="9"/>
      <c r="K27" s="9"/>
    </row>
    <row r="28" customFormat="false" ht="15" hidden="false" customHeight="false" outlineLevel="0" collapsed="false">
      <c r="A28" s="8" t="s">
        <v>62</v>
      </c>
      <c r="B28" s="9"/>
      <c r="C28" s="9"/>
      <c r="D28" s="9"/>
      <c r="E28" s="9"/>
      <c r="F28" s="9"/>
      <c r="G28" s="9"/>
      <c r="H28" s="10"/>
      <c r="I28" s="9"/>
      <c r="J28" s="9"/>
      <c r="K28" s="9"/>
    </row>
    <row r="29" customFormat="false" ht="15" hidden="false" customHeight="false" outlineLevel="0" collapsed="false">
      <c r="A29" s="8" t="s">
        <v>63</v>
      </c>
      <c r="B29" s="9"/>
      <c r="C29" s="9"/>
      <c r="D29" s="9"/>
      <c r="E29" s="9"/>
      <c r="F29" s="9"/>
      <c r="G29" s="9"/>
      <c r="H29" s="10"/>
      <c r="I29" s="9"/>
      <c r="J29" s="9"/>
      <c r="K29" s="9"/>
    </row>
    <row r="30" customFormat="false" ht="15" hidden="false" customHeight="false" outlineLevel="0" collapsed="false">
      <c r="A30" s="8" t="s">
        <v>64</v>
      </c>
      <c r="B30" s="9"/>
      <c r="C30" s="9"/>
      <c r="D30" s="9"/>
      <c r="E30" s="9"/>
      <c r="F30" s="9"/>
      <c r="G30" s="9"/>
      <c r="H30" s="10"/>
      <c r="I30" s="9"/>
      <c r="J30" s="9"/>
      <c r="K30" s="9"/>
    </row>
    <row r="31" customFormat="false" ht="15" hidden="false" customHeight="false" outlineLevel="0" collapsed="false">
      <c r="A31" s="8" t="s">
        <v>65</v>
      </c>
      <c r="B31" s="9"/>
      <c r="C31" s="9"/>
      <c r="D31" s="9"/>
      <c r="E31" s="9"/>
      <c r="F31" s="9"/>
      <c r="G31" s="9"/>
      <c r="H31" s="10"/>
      <c r="I31" s="9"/>
      <c r="J31" s="9"/>
      <c r="K31" s="9"/>
    </row>
    <row r="32" customFormat="false" ht="15" hidden="false" customHeight="false" outlineLevel="0" collapsed="false">
      <c r="A32" s="8" t="s">
        <v>66</v>
      </c>
      <c r="B32" s="9"/>
      <c r="C32" s="9"/>
      <c r="D32" s="9"/>
      <c r="E32" s="9"/>
      <c r="F32" s="9"/>
      <c r="G32" s="9"/>
      <c r="H32" s="10"/>
      <c r="I32" s="9"/>
      <c r="J32" s="9"/>
      <c r="K32" s="9"/>
    </row>
    <row r="33" customFormat="false" ht="15" hidden="false" customHeight="false" outlineLevel="0" collapsed="false">
      <c r="A33" s="8" t="s">
        <v>67</v>
      </c>
      <c r="B33" s="9"/>
      <c r="C33" s="9"/>
      <c r="D33" s="9"/>
      <c r="E33" s="9"/>
      <c r="F33" s="9"/>
      <c r="G33" s="9"/>
      <c r="H33" s="10"/>
      <c r="I33" s="9"/>
      <c r="J33" s="9"/>
      <c r="K33" s="9"/>
    </row>
    <row r="34" customFormat="false" ht="15" hidden="false" customHeight="false" outlineLevel="0" collapsed="false">
      <c r="A34" s="8" t="s">
        <v>68</v>
      </c>
      <c r="B34" s="9"/>
      <c r="C34" s="9"/>
      <c r="D34" s="9"/>
      <c r="E34" s="9"/>
      <c r="F34" s="9"/>
      <c r="G34" s="9"/>
      <c r="H34" s="10"/>
      <c r="I34" s="9"/>
      <c r="J34" s="9"/>
      <c r="K34" s="9"/>
    </row>
    <row r="35" customFormat="false" ht="15" hidden="false" customHeight="false" outlineLevel="0" collapsed="false">
      <c r="A35" s="8" t="s">
        <v>69</v>
      </c>
      <c r="B35" s="9"/>
      <c r="C35" s="9"/>
      <c r="D35" s="9"/>
      <c r="E35" s="9"/>
      <c r="F35" s="9"/>
      <c r="G35" s="9"/>
      <c r="H35" s="10"/>
      <c r="I35" s="9"/>
      <c r="J35" s="9"/>
      <c r="K35" s="9"/>
    </row>
    <row r="36" customFormat="false" ht="15" hidden="false" customHeight="false" outlineLevel="0" collapsed="false">
      <c r="A36" s="8" t="s">
        <v>70</v>
      </c>
      <c r="B36" s="9"/>
      <c r="C36" s="9"/>
      <c r="D36" s="9"/>
      <c r="E36" s="9"/>
      <c r="F36" s="9"/>
      <c r="G36" s="9"/>
      <c r="H36" s="10"/>
      <c r="I36" s="9"/>
      <c r="J36" s="9"/>
      <c r="K36" s="9"/>
    </row>
    <row r="37" customFormat="false" ht="15" hidden="false" customHeight="false" outlineLevel="0" collapsed="false">
      <c r="A37" s="8" t="s">
        <v>71</v>
      </c>
      <c r="B37" s="9"/>
      <c r="C37" s="9"/>
      <c r="D37" s="9"/>
      <c r="E37" s="9"/>
      <c r="F37" s="9"/>
      <c r="G37" s="9"/>
      <c r="H37" s="10"/>
      <c r="I37" s="9"/>
      <c r="J37" s="9"/>
      <c r="K37" s="9"/>
    </row>
    <row r="38" customFormat="false" ht="15" hidden="false" customHeight="false" outlineLevel="0" collapsed="false">
      <c r="A38" s="8" t="s">
        <v>72</v>
      </c>
      <c r="B38" s="9"/>
      <c r="C38" s="9"/>
      <c r="D38" s="9"/>
      <c r="E38" s="9"/>
      <c r="F38" s="9"/>
      <c r="G38" s="9"/>
      <c r="H38" s="10"/>
      <c r="I38" s="9"/>
      <c r="J38" s="9"/>
      <c r="K38" s="9"/>
    </row>
    <row r="39" customFormat="false" ht="15" hidden="false" customHeight="false" outlineLevel="0" collapsed="false">
      <c r="A39" s="8" t="s">
        <v>73</v>
      </c>
      <c r="B39" s="9"/>
      <c r="C39" s="9"/>
      <c r="D39" s="9"/>
      <c r="E39" s="9"/>
      <c r="F39" s="9"/>
      <c r="G39" s="9"/>
      <c r="H39" s="10"/>
      <c r="I39" s="9"/>
      <c r="J39" s="9"/>
      <c r="K39" s="9"/>
    </row>
    <row r="40" customFormat="false" ht="15" hidden="false" customHeight="false" outlineLevel="0" collapsed="false">
      <c r="A40" s="8" t="s">
        <v>74</v>
      </c>
      <c r="B40" s="9"/>
      <c r="C40" s="9"/>
      <c r="D40" s="9"/>
      <c r="E40" s="9"/>
      <c r="F40" s="9"/>
      <c r="G40" s="9"/>
      <c r="H40" s="10"/>
      <c r="I40" s="9"/>
      <c r="J40" s="9"/>
      <c r="K40" s="9"/>
    </row>
    <row r="41" customFormat="false" ht="15" hidden="false" customHeight="false" outlineLevel="0" collapsed="false">
      <c r="A41" s="8" t="s">
        <v>75</v>
      </c>
      <c r="B41" s="9"/>
      <c r="C41" s="9"/>
      <c r="D41" s="9"/>
      <c r="E41" s="9"/>
      <c r="F41" s="9"/>
      <c r="G41" s="9"/>
      <c r="H41" s="10"/>
      <c r="I41" s="9"/>
      <c r="J41" s="9"/>
      <c r="K41" s="9"/>
    </row>
    <row r="42" customFormat="false" ht="15" hidden="false" customHeight="false" outlineLevel="0" collapsed="false">
      <c r="A42" s="8" t="s">
        <v>76</v>
      </c>
      <c r="B42" s="9"/>
      <c r="C42" s="9"/>
      <c r="D42" s="9"/>
      <c r="E42" s="9"/>
      <c r="F42" s="9"/>
      <c r="G42" s="9"/>
      <c r="H42" s="10"/>
      <c r="I42" s="9"/>
      <c r="J42" s="9"/>
      <c r="K42" s="9"/>
    </row>
    <row r="43" customFormat="false" ht="15" hidden="false" customHeight="false" outlineLevel="0" collapsed="false">
      <c r="A43" s="8" t="s">
        <v>77</v>
      </c>
      <c r="B43" s="9"/>
      <c r="C43" s="9"/>
      <c r="D43" s="9"/>
      <c r="E43" s="9"/>
      <c r="F43" s="9"/>
      <c r="G43" s="9"/>
      <c r="H43" s="10"/>
      <c r="I43" s="9"/>
      <c r="J43" s="9"/>
      <c r="K43" s="9"/>
    </row>
    <row r="44" customFormat="false" ht="15" hidden="false" customHeight="false" outlineLevel="0" collapsed="false">
      <c r="A44" s="8" t="s">
        <v>78</v>
      </c>
      <c r="B44" s="9"/>
      <c r="C44" s="9"/>
      <c r="D44" s="9"/>
      <c r="E44" s="9"/>
      <c r="F44" s="9"/>
      <c r="G44" s="9"/>
      <c r="H44" s="10"/>
      <c r="I44" s="9"/>
      <c r="J44" s="9"/>
      <c r="K44" s="9"/>
    </row>
    <row r="45" customFormat="false" ht="15" hidden="false" customHeight="false" outlineLevel="0" collapsed="false">
      <c r="A45" s="8" t="s">
        <v>79</v>
      </c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customFormat="false" ht="15" hidden="false" customHeight="false" outlineLevel="0" collapsed="false">
      <c r="A46" s="8" t="s">
        <v>80</v>
      </c>
      <c r="B46" s="9"/>
      <c r="C46" s="9"/>
      <c r="D46" s="9"/>
      <c r="E46" s="9"/>
      <c r="F46" s="9"/>
      <c r="G46" s="9"/>
      <c r="H46" s="10"/>
      <c r="I46" s="9"/>
      <c r="J46" s="9"/>
      <c r="K46" s="9"/>
    </row>
    <row r="47" customFormat="false" ht="15" hidden="false" customHeight="false" outlineLevel="0" collapsed="false">
      <c r="A47" s="8" t="s">
        <v>81</v>
      </c>
      <c r="B47" s="9"/>
      <c r="C47" s="9"/>
      <c r="D47" s="9"/>
      <c r="E47" s="9"/>
      <c r="F47" s="9"/>
      <c r="G47" s="9"/>
      <c r="H47" s="10"/>
      <c r="I47" s="9"/>
      <c r="J47" s="9"/>
      <c r="K47" s="9"/>
    </row>
    <row r="48" customFormat="false" ht="15" hidden="false" customHeight="false" outlineLevel="0" collapsed="false">
      <c r="A48" s="8" t="s">
        <v>82</v>
      </c>
      <c r="B48" s="9"/>
      <c r="C48" s="9"/>
      <c r="D48" s="9"/>
      <c r="E48" s="9"/>
      <c r="F48" s="9"/>
      <c r="G48" s="9"/>
      <c r="H48" s="10"/>
      <c r="I48" s="9"/>
      <c r="J48" s="9"/>
      <c r="K48" s="9"/>
    </row>
    <row r="49" customFormat="false" ht="15" hidden="false" customHeight="false" outlineLevel="0" collapsed="false">
      <c r="A49" s="8" t="s">
        <v>83</v>
      </c>
      <c r="B49" s="9"/>
      <c r="C49" s="9"/>
      <c r="D49" s="9"/>
      <c r="E49" s="9"/>
      <c r="F49" s="9"/>
      <c r="G49" s="9"/>
      <c r="H49" s="10"/>
      <c r="I49" s="9"/>
      <c r="J49" s="9"/>
      <c r="K49" s="9"/>
    </row>
    <row r="50" customFormat="false" ht="15" hidden="false" customHeight="false" outlineLevel="0" collapsed="false">
      <c r="A50" s="8" t="s">
        <v>84</v>
      </c>
      <c r="B50" s="9"/>
      <c r="C50" s="9"/>
      <c r="D50" s="9"/>
      <c r="E50" s="9"/>
      <c r="F50" s="9"/>
      <c r="G50" s="9"/>
      <c r="H50" s="10"/>
      <c r="I50" s="9"/>
      <c r="J50" s="9"/>
      <c r="K50" s="9"/>
    </row>
    <row r="51" customFormat="false" ht="15" hidden="false" customHeight="false" outlineLevel="0" collapsed="false">
      <c r="A51" s="8" t="s">
        <v>85</v>
      </c>
      <c r="B51" s="9"/>
      <c r="C51" s="9"/>
      <c r="D51" s="9"/>
      <c r="E51" s="9"/>
      <c r="F51" s="9"/>
      <c r="G51" s="9"/>
      <c r="H51" s="10"/>
      <c r="I51" s="9"/>
      <c r="J51" s="9"/>
      <c r="K51" s="9"/>
    </row>
    <row r="52" customFormat="false" ht="15" hidden="false" customHeight="false" outlineLevel="0" collapsed="false">
      <c r="A52" s="8" t="s">
        <v>86</v>
      </c>
      <c r="B52" s="9"/>
      <c r="C52" s="9"/>
      <c r="D52" s="9"/>
      <c r="E52" s="9"/>
      <c r="F52" s="9"/>
      <c r="G52" s="9"/>
      <c r="H52" s="10"/>
      <c r="I52" s="9"/>
      <c r="J52" s="9"/>
      <c r="K52" s="9"/>
    </row>
    <row r="53" customFormat="false" ht="15" hidden="false" customHeight="false" outlineLevel="0" collapsed="false">
      <c r="A53" s="8" t="s">
        <v>87</v>
      </c>
      <c r="B53" s="9"/>
      <c r="C53" s="9"/>
      <c r="D53" s="9"/>
      <c r="E53" s="9"/>
      <c r="F53" s="9"/>
      <c r="G53" s="9"/>
      <c r="H53" s="10"/>
      <c r="I53" s="9"/>
      <c r="J53" s="9"/>
      <c r="K53" s="9"/>
    </row>
    <row r="54" customFormat="false" ht="15" hidden="false" customHeight="false" outlineLevel="0" collapsed="false">
      <c r="A54" s="8" t="s">
        <v>88</v>
      </c>
      <c r="B54" s="9"/>
      <c r="C54" s="9"/>
      <c r="D54" s="9"/>
      <c r="E54" s="9"/>
      <c r="F54" s="9"/>
      <c r="G54" s="9"/>
      <c r="H54" s="10"/>
      <c r="I54" s="9"/>
      <c r="J54" s="9"/>
      <c r="K54" s="9"/>
    </row>
    <row r="55" customFormat="false" ht="15" hidden="false" customHeight="false" outlineLevel="0" collapsed="false">
      <c r="A55" s="8" t="s">
        <v>89</v>
      </c>
      <c r="B55" s="9"/>
      <c r="C55" s="9"/>
      <c r="D55" s="9"/>
      <c r="E55" s="9"/>
      <c r="F55" s="9"/>
      <c r="G55" s="9"/>
      <c r="H55" s="10"/>
      <c r="I55" s="9"/>
      <c r="J55" s="9"/>
      <c r="K55" s="9"/>
    </row>
    <row r="56" customFormat="false" ht="15" hidden="false" customHeight="false" outlineLevel="0" collapsed="false">
      <c r="A56" s="8" t="s">
        <v>90</v>
      </c>
      <c r="B56" s="9"/>
      <c r="C56" s="9"/>
      <c r="D56" s="9"/>
      <c r="E56" s="9"/>
      <c r="F56" s="9"/>
      <c r="G56" s="9"/>
      <c r="H56" s="10"/>
      <c r="I56" s="9"/>
      <c r="J56" s="9"/>
      <c r="K56" s="9"/>
    </row>
    <row r="57" customFormat="false" ht="15" hidden="false" customHeight="false" outlineLevel="0" collapsed="false">
      <c r="A57" s="8" t="s">
        <v>91</v>
      </c>
      <c r="B57" s="9"/>
      <c r="C57" s="9"/>
      <c r="D57" s="9"/>
      <c r="E57" s="9"/>
      <c r="F57" s="9"/>
      <c r="G57" s="9"/>
      <c r="H57" s="10"/>
      <c r="I57" s="9"/>
      <c r="J57" s="9"/>
      <c r="K57" s="9"/>
    </row>
    <row r="58" customFormat="false" ht="15" hidden="false" customHeight="false" outlineLevel="0" collapsed="false">
      <c r="A58" s="8" t="s">
        <v>92</v>
      </c>
      <c r="B58" s="9"/>
      <c r="C58" s="9"/>
      <c r="D58" s="9"/>
      <c r="E58" s="9"/>
      <c r="F58" s="9"/>
      <c r="G58" s="9"/>
      <c r="H58" s="10"/>
      <c r="I58" s="9"/>
      <c r="J58" s="9"/>
      <c r="K58" s="9"/>
    </row>
    <row r="59" customFormat="false" ht="15" hidden="false" customHeight="false" outlineLevel="0" collapsed="false">
      <c r="A59" s="8" t="s">
        <v>93</v>
      </c>
      <c r="B59" s="9"/>
      <c r="C59" s="9"/>
      <c r="D59" s="9"/>
      <c r="E59" s="9"/>
      <c r="F59" s="9"/>
      <c r="G59" s="9"/>
      <c r="H59" s="10"/>
      <c r="I59" s="9"/>
      <c r="J59" s="9"/>
      <c r="K59" s="9"/>
    </row>
    <row r="60" customFormat="false" ht="15" hidden="false" customHeight="false" outlineLevel="0" collapsed="false">
      <c r="A60" s="8" t="s">
        <v>94</v>
      </c>
      <c r="B60" s="9"/>
      <c r="C60" s="9"/>
      <c r="D60" s="9"/>
      <c r="E60" s="9"/>
      <c r="F60" s="9"/>
      <c r="G60" s="9"/>
      <c r="H60" s="10"/>
      <c r="I60" s="9"/>
      <c r="J60" s="9"/>
      <c r="K60" s="9"/>
    </row>
    <row r="61" customFormat="false" ht="15" hidden="false" customHeight="false" outlineLevel="0" collapsed="false">
      <c r="A61" s="8" t="s">
        <v>95</v>
      </c>
      <c r="B61" s="9"/>
      <c r="C61" s="9"/>
      <c r="D61" s="9"/>
      <c r="E61" s="9"/>
      <c r="F61" s="9"/>
      <c r="G61" s="9"/>
      <c r="H61" s="10"/>
      <c r="I61" s="9"/>
      <c r="J61" s="9"/>
      <c r="K61" s="9"/>
    </row>
    <row r="62" customFormat="false" ht="15" hidden="false" customHeight="false" outlineLevel="0" collapsed="false">
      <c r="A62" s="8" t="s">
        <v>96</v>
      </c>
      <c r="B62" s="9"/>
      <c r="C62" s="9"/>
      <c r="D62" s="9"/>
      <c r="E62" s="9"/>
      <c r="F62" s="9"/>
      <c r="G62" s="9"/>
      <c r="H62" s="10"/>
      <c r="I62" s="9"/>
      <c r="J62" s="9"/>
      <c r="K62" s="9"/>
    </row>
  </sheetData>
  <conditionalFormatting sqref="H3:H62">
    <cfRule type="expression" priority="2" aboveAverage="0" equalAverage="0" bottom="0" percent="0" rank="0" text="" dxfId="0">
      <formula>AND(H3&lt;&gt;"",H3&gt;=3)</formula>
    </cfRule>
    <cfRule type="expression" priority="3" aboveAverage="0" equalAverage="0" bottom="0" percent="0" rank="0" text="" dxfId="1">
      <formula>AND(H3&lt;&gt;"",H3=2)</formula>
    </cfRule>
  </conditionalFormatting>
  <dataValidations count="6">
    <dataValidation allowBlank="true" errorStyle="stop" operator="between" showDropDown="false" showErrorMessage="false" showInputMessage="false" sqref="B3:B62" type="list">
      <formula1>Listas!$A$2:$A$10</formula1>
      <formula2>0</formula2>
    </dataValidation>
    <dataValidation allowBlank="true" errorStyle="stop" operator="between" showDropDown="false" showErrorMessage="true" showInputMessage="false" sqref="C3:C62" type="list">
      <formula1>Listas!$B$2:$B$5</formula1>
      <formula2>0</formula2>
    </dataValidation>
    <dataValidation allowBlank="true" errorStyle="stop" operator="between" showDropDown="false" showErrorMessage="true" showInputMessage="false" sqref="D3:D62" type="list">
      <formula1>Listas!$C$2:$C$4</formula1>
      <formula2>0</formula2>
    </dataValidation>
    <dataValidation allowBlank="true" errorStyle="stop" operator="between" showDropDown="false" showErrorMessage="true" showInputMessage="false" sqref="E3:E62" type="list">
      <formula1>Listas!$D$2:$D$11</formula1>
      <formula2>0</formula2>
    </dataValidation>
    <dataValidation allowBlank="true" errorStyle="stop" operator="between" showDropDown="false" showErrorMessage="true" showInputMessage="false" sqref="I3:I62" type="list">
      <formula1>Listas!$E$2:$E$4</formula1>
      <formula2>0</formula2>
    </dataValidation>
    <dataValidation allowBlank="false" error="Use um número de 0 a 4." errorStyle="stop" errorTitle="Severidade" operator="between" showDropDown="false" showErrorMessage="true" showInputMessage="false" sqref="H3:H62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11" t="s">
        <v>97</v>
      </c>
    </row>
    <row r="2" customFormat="false" ht="15" hidden="false" customHeight="false" outlineLevel="0" collapsed="false">
      <c r="A2" s="12" t="s">
        <v>98</v>
      </c>
    </row>
    <row r="4" customFormat="false" ht="15" hidden="false" customHeight="false" outlineLevel="0" collapsed="false">
      <c r="A4" s="13" t="s">
        <v>99</v>
      </c>
      <c r="B4" s="13" t="s">
        <v>100</v>
      </c>
      <c r="C4" s="13" t="s">
        <v>101</v>
      </c>
    </row>
    <row r="5" customFormat="false" ht="15" hidden="false" customHeight="false" outlineLevel="0" collapsed="false">
      <c r="A5" s="8" t="s">
        <v>102</v>
      </c>
      <c r="B5" s="8" t="n">
        <f aca="false">COUNTIF(Achados!$H$3:$H$62,0)</f>
        <v>0</v>
      </c>
      <c r="C5" s="8" t="n">
        <f aca="false">COUNTIFS(Achados!$H$3:$H$62,0,Achados!$I$3:$I$62,"Sim")</f>
        <v>0</v>
      </c>
    </row>
    <row r="6" customFormat="false" ht="15" hidden="false" customHeight="false" outlineLevel="0" collapsed="false">
      <c r="A6" s="8" t="s">
        <v>103</v>
      </c>
      <c r="B6" s="8" t="n">
        <f aca="false">COUNTIF(Achados!$H$3:$H$62,1)</f>
        <v>0</v>
      </c>
      <c r="C6" s="8" t="n">
        <f aca="false">COUNTIFS(Achados!$H$3:$H$62,1,Achados!$I$3:$I$62,"Sim")</f>
        <v>0</v>
      </c>
    </row>
    <row r="7" customFormat="false" ht="15" hidden="false" customHeight="false" outlineLevel="0" collapsed="false">
      <c r="A7" s="8" t="s">
        <v>104</v>
      </c>
      <c r="B7" s="8" t="n">
        <f aca="false">COUNTIF(Achados!$H$3:$H$62,2)</f>
        <v>0</v>
      </c>
      <c r="C7" s="8" t="n">
        <f aca="false">COUNTIFS(Achados!$H$3:$H$62,2,Achados!$I$3:$I$62,"Sim")</f>
        <v>0</v>
      </c>
    </row>
    <row r="8" customFormat="false" ht="15" hidden="false" customHeight="false" outlineLevel="0" collapsed="false">
      <c r="A8" s="8" t="s">
        <v>105</v>
      </c>
      <c r="B8" s="8" t="n">
        <f aca="false">COUNTIF(Achados!$H$3:$H$62,3)</f>
        <v>0</v>
      </c>
      <c r="C8" s="8" t="n">
        <f aca="false">COUNTIFS(Achados!$H$3:$H$62,3,Achados!$I$3:$I$62,"Sim")</f>
        <v>0</v>
      </c>
    </row>
    <row r="9" customFormat="false" ht="15" hidden="false" customHeight="false" outlineLevel="0" collapsed="false">
      <c r="A9" s="8" t="s">
        <v>106</v>
      </c>
      <c r="B9" s="8" t="n">
        <f aca="false">COUNTIF(Achados!$H$3:$H$62,4)</f>
        <v>0</v>
      </c>
      <c r="C9" s="8" t="n">
        <f aca="false">COUNTIFS(Achados!$H$3:$H$62,4,Achados!$I$3:$I$62,"Sim")</f>
        <v>0</v>
      </c>
    </row>
    <row r="10" customFormat="false" ht="15" hidden="false" customHeight="false" outlineLevel="0" collapsed="false">
      <c r="A10" s="14" t="s">
        <v>107</v>
      </c>
      <c r="B10" s="14" t="n">
        <f aca="false">SUM(B5:B9)</f>
        <v>0</v>
      </c>
      <c r="C10" s="14" t="n">
        <f aca="false">SUM(C5:C9)</f>
        <v>0</v>
      </c>
    </row>
    <row r="12" customFormat="false" ht="15" hidden="false" customHeight="false" outlineLevel="0" collapsed="false">
      <c r="A12" s="13" t="s">
        <v>108</v>
      </c>
      <c r="B12" s="13" t="s">
        <v>100</v>
      </c>
      <c r="C12" s="13" t="s">
        <v>109</v>
      </c>
    </row>
    <row r="13" customFormat="false" ht="15" hidden="false" customHeight="false" outlineLevel="0" collapsed="false">
      <c r="A13" s="8" t="s">
        <v>31</v>
      </c>
      <c r="B13" s="8" t="n">
        <f aca="false">COUNTIF(Achados!$E$3:$E$62,A13)</f>
        <v>0</v>
      </c>
      <c r="C13" s="15" t="str">
        <f aca="false">IFERROR(AVERAGEIF(Achados!$E$3:$E$62,A13,Achados!$H$3:$H$62),"-")</f>
        <v>-</v>
      </c>
    </row>
    <row r="14" customFormat="false" ht="15" hidden="false" customHeight="false" outlineLevel="0" collapsed="false">
      <c r="A14" s="8" t="s">
        <v>110</v>
      </c>
      <c r="B14" s="8" t="n">
        <f aca="false">COUNTIF(Achados!$E$3:$E$62,A14)</f>
        <v>0</v>
      </c>
      <c r="C14" s="15" t="str">
        <f aca="false">IFERROR(AVERAGEIF(Achados!$E$3:$E$62,A14,Achados!$H$3:$H$62),"-")</f>
        <v>-</v>
      </c>
    </row>
    <row r="15" customFormat="false" ht="15" hidden="false" customHeight="false" outlineLevel="0" collapsed="false">
      <c r="A15" s="8" t="s">
        <v>111</v>
      </c>
      <c r="B15" s="8" t="n">
        <f aca="false">COUNTIF(Achados!$E$3:$E$62,A15)</f>
        <v>0</v>
      </c>
      <c r="C15" s="15" t="str">
        <f aca="false">IFERROR(AVERAGEIF(Achados!$E$3:$E$62,A15,Achados!$H$3:$H$62),"-")</f>
        <v>-</v>
      </c>
    </row>
    <row r="16" customFormat="false" ht="15" hidden="false" customHeight="false" outlineLevel="0" collapsed="false">
      <c r="A16" s="8" t="s">
        <v>112</v>
      </c>
      <c r="B16" s="8" t="n">
        <f aca="false">COUNTIF(Achados!$E$3:$E$62,A16)</f>
        <v>0</v>
      </c>
      <c r="C16" s="15" t="str">
        <f aca="false">IFERROR(AVERAGEIF(Achados!$E$3:$E$62,A16,Achados!$H$3:$H$62),"-")</f>
        <v>-</v>
      </c>
    </row>
    <row r="17" customFormat="false" ht="15" hidden="false" customHeight="false" outlineLevel="0" collapsed="false">
      <c r="A17" s="8" t="s">
        <v>113</v>
      </c>
      <c r="B17" s="8" t="n">
        <f aca="false">COUNTIF(Achados!$E$3:$E$62,A17)</f>
        <v>0</v>
      </c>
      <c r="C17" s="15" t="str">
        <f aca="false">IFERROR(AVERAGEIF(Achados!$E$3:$E$62,A17,Achados!$H$3:$H$62),"-")</f>
        <v>-</v>
      </c>
    </row>
    <row r="18" customFormat="false" ht="15" hidden="false" customHeight="false" outlineLevel="0" collapsed="false">
      <c r="A18" s="8" t="s">
        <v>114</v>
      </c>
      <c r="B18" s="8" t="n">
        <f aca="false">COUNTIF(Achados!$E$3:$E$62,A18)</f>
        <v>0</v>
      </c>
      <c r="C18" s="15" t="str">
        <f aca="false">IFERROR(AVERAGEIF(Achados!$E$3:$E$62,A18,Achados!$H$3:$H$62),"-")</f>
        <v>-</v>
      </c>
    </row>
    <row r="19" customFormat="false" ht="15" hidden="false" customHeight="false" outlineLevel="0" collapsed="false">
      <c r="A19" s="8" t="s">
        <v>115</v>
      </c>
      <c r="B19" s="8" t="n">
        <f aca="false">COUNTIF(Achados!$E$3:$E$62,A19)</f>
        <v>0</v>
      </c>
      <c r="C19" s="15" t="str">
        <f aca="false">IFERROR(AVERAGEIF(Achados!$E$3:$E$62,A19,Achados!$H$3:$H$62),"-")</f>
        <v>-</v>
      </c>
    </row>
    <row r="20" customFormat="false" ht="15" hidden="false" customHeight="false" outlineLevel="0" collapsed="false">
      <c r="A20" s="8" t="s">
        <v>116</v>
      </c>
      <c r="B20" s="8" t="n">
        <f aca="false">COUNTIF(Achados!$E$3:$E$62,A20)</f>
        <v>0</v>
      </c>
      <c r="C20" s="15" t="str">
        <f aca="false">IFERROR(AVERAGEIF(Achados!$E$3:$E$62,A20,Achados!$H$3:$H$62),"-")</f>
        <v>-</v>
      </c>
    </row>
    <row r="21" customFormat="false" ht="15" hidden="false" customHeight="false" outlineLevel="0" collapsed="false">
      <c r="A21" s="8" t="s">
        <v>117</v>
      </c>
      <c r="B21" s="8" t="n">
        <f aca="false">COUNTIF(Achados!$E$3:$E$62,A21)</f>
        <v>0</v>
      </c>
      <c r="C21" s="15" t="str">
        <f aca="false">IFERROR(AVERAGEIF(Achados!$E$3:$E$62,A21,Achados!$H$3:$H$62),"-")</f>
        <v>-</v>
      </c>
    </row>
    <row r="22" customFormat="false" ht="15" hidden="false" customHeight="false" outlineLevel="0" collapsed="false">
      <c r="A22" s="8" t="s">
        <v>118</v>
      </c>
      <c r="B22" s="8" t="n">
        <f aca="false">COUNTIF(Achados!$E$3:$E$62,A22)</f>
        <v>0</v>
      </c>
      <c r="C22" s="15" t="str">
        <f aca="false">IFERROR(AVERAGEIF(Achados!$E$3:$E$62,A22,Achados!$H$3:$H$62),"-")</f>
        <v>-</v>
      </c>
    </row>
    <row r="24" customFormat="false" ht="15" hidden="false" customHeight="false" outlineLevel="0" collapsed="false">
      <c r="A24" s="16" t="s">
        <v>119</v>
      </c>
      <c r="B24" s="16" t="n">
        <f aca="false">COUNTIFS(Achados!$H$3:$H$62,"&gt;=3",Achados!$I$3:$I$62,"&lt;&gt;Sim")</f>
        <v>0</v>
      </c>
    </row>
    <row r="25" customFormat="false" ht="15" hidden="false" customHeight="false" outlineLevel="0" collapsed="false">
      <c r="A25" s="16" t="s">
        <v>120</v>
      </c>
      <c r="B25" s="16" t="str">
        <f aca="false">IF(B10=0,"Preencher",IF(B24=0,"Atendido","Atendido com ressalva"))</f>
        <v>Preencher</v>
      </c>
    </row>
    <row r="27" customFormat="false" ht="15" hidden="false" customHeight="false" outlineLevel="0" collapsed="false">
      <c r="A27" s="16" t="s">
        <v>121</v>
      </c>
    </row>
    <row r="28" customFormat="false" ht="31.5" hidden="false" customHeight="true" outlineLevel="0" collapsed="false">
      <c r="A28" s="17" t="str">
        <f aca="false">"A inspeção identificou "&amp;B10&amp;" problemas de usabilidade: "&amp;B6&amp;" de severidade 1, "&amp;B7&amp;" de severidade 2, "&amp;B8&amp;" de severidade 3 e "&amp;B9&amp;" de severidade 4."</f>
        <v>A inspeção identificou 0 problemas de usabilidade: 0 de severidade 1, 0 de severidade 2, 0 de severidade 3 e 0 de severidade 4.</v>
      </c>
      <c r="B28" s="17"/>
      <c r="C28" s="17"/>
    </row>
  </sheetData>
  <mergeCells count="1"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4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6" t="s">
        <v>122</v>
      </c>
      <c r="B1" s="16" t="s">
        <v>123</v>
      </c>
      <c r="C1" s="16" t="s">
        <v>19</v>
      </c>
      <c r="D1" s="16" t="s">
        <v>124</v>
      </c>
      <c r="E1" s="16" t="s">
        <v>125</v>
      </c>
    </row>
    <row r="2" customFormat="false" ht="15" hidden="false" customHeight="false" outlineLevel="0" collapsed="false">
      <c r="A2" s="18" t="s">
        <v>126</v>
      </c>
      <c r="B2" s="18" t="s">
        <v>29</v>
      </c>
      <c r="C2" s="18" t="s">
        <v>127</v>
      </c>
      <c r="D2" s="18" t="s">
        <v>31</v>
      </c>
      <c r="E2" s="18" t="s">
        <v>34</v>
      </c>
    </row>
    <row r="3" customFormat="false" ht="15" hidden="false" customHeight="false" outlineLevel="0" collapsed="false">
      <c r="A3" s="18" t="s">
        <v>28</v>
      </c>
      <c r="B3" s="18" t="s">
        <v>128</v>
      </c>
      <c r="C3" s="18" t="s">
        <v>30</v>
      </c>
      <c r="D3" s="18" t="s">
        <v>110</v>
      </c>
      <c r="E3" s="18" t="s">
        <v>129</v>
      </c>
    </row>
    <row r="4" customFormat="false" ht="15" hidden="false" customHeight="false" outlineLevel="0" collapsed="false">
      <c r="A4" s="18" t="s">
        <v>130</v>
      </c>
      <c r="B4" s="18" t="s">
        <v>131</v>
      </c>
      <c r="C4" s="18" t="s">
        <v>132</v>
      </c>
      <c r="D4" s="18" t="s">
        <v>111</v>
      </c>
      <c r="E4" s="18" t="s">
        <v>133</v>
      </c>
    </row>
    <row r="5" customFormat="false" ht="15" hidden="false" customHeight="false" outlineLevel="0" collapsed="false">
      <c r="A5" s="18" t="s">
        <v>134</v>
      </c>
      <c r="B5" s="18" t="s">
        <v>135</v>
      </c>
      <c r="D5" s="18" t="s">
        <v>112</v>
      </c>
    </row>
    <row r="6" customFormat="false" ht="15" hidden="false" customHeight="false" outlineLevel="0" collapsed="false">
      <c r="A6" s="18" t="s">
        <v>136</v>
      </c>
      <c r="D6" s="18" t="s">
        <v>113</v>
      </c>
    </row>
    <row r="7" customFormat="false" ht="15" hidden="false" customHeight="false" outlineLevel="0" collapsed="false">
      <c r="A7" s="18" t="s">
        <v>137</v>
      </c>
      <c r="D7" s="18" t="s">
        <v>114</v>
      </c>
    </row>
    <row r="8" customFormat="false" ht="15" hidden="false" customHeight="false" outlineLevel="0" collapsed="false">
      <c r="A8" s="18" t="s">
        <v>138</v>
      </c>
      <c r="D8" s="18" t="s">
        <v>115</v>
      </c>
    </row>
    <row r="9" customFormat="false" ht="15" hidden="false" customHeight="false" outlineLevel="0" collapsed="false">
      <c r="A9" s="18" t="s">
        <v>139</v>
      </c>
      <c r="D9" s="18" t="s">
        <v>116</v>
      </c>
    </row>
    <row r="10" customFormat="false" ht="15" hidden="false" customHeight="false" outlineLevel="0" collapsed="false">
      <c r="A10" s="18" t="s">
        <v>140</v>
      </c>
      <c r="D10" s="18" t="s">
        <v>117</v>
      </c>
    </row>
    <row r="11" customFormat="false" ht="15" hidden="false" customHeight="false" outlineLevel="0" collapsed="false">
      <c r="D11" s="1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2026-10-26T18:18:52Z</dcterms:created>
  <dc:creator>openpyxl</dc:creator>
  <dc:description/>
  <dc:language>en-US</dc:language>
  <cp:lastModifiedBy/>
  <dcterms:modified xsi:type="dcterms:W3CDTF">2026-10-26T18:18:52Z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